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print Board" sheetId="2" state="visible" r:id="rId4"/>
    <sheet name="Resumen y Métric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<sst xmlns="http://schemas.openxmlformats.org/spreadsheetml/2006/main" count="526" uniqueCount="187">
  <si>
    <t xml:space="preserve">PRODUCT BACKLOG — Plataforma Accesible para Segmentación de Grafeno con Deep Learning</t>
  </si>
  <si>
    <t xml:space="preserve">Proyecto Integrador II  |  Tutor: Javier Botia  |  Equipo: Camilo Cuéllar · Leonardo Amaris</t>
  </si>
  <si>
    <t xml:space="preserve">ID</t>
  </si>
  <si>
    <t xml:space="preserve">Épica</t>
  </si>
  <si>
    <t xml:space="preserve">Historia de Usuario</t>
  </si>
  <si>
    <t xml:space="preserve">Criterios de Aceptación</t>
  </si>
  <si>
    <t xml:space="preserve">Prioridad</t>
  </si>
  <si>
    <t xml:space="preserve">Story
Points</t>
  </si>
  <si>
    <t xml:space="preserve">Sprint</t>
  </si>
  <si>
    <t xml:space="preserve">Semanas</t>
  </si>
  <si>
    <t xml:space="preserve">Fase</t>
  </si>
  <si>
    <t xml:space="preserve">Responsable</t>
  </si>
  <si>
    <t xml:space="preserve">Estado</t>
  </si>
  <si>
    <t xml:space="preserve">Objetivo
Específico</t>
  </si>
  <si>
    <t xml:space="preserve">Dependencias</t>
  </si>
  <si>
    <t xml:space="preserve">Notas</t>
  </si>
  <si>
    <t xml:space="preserve">US-01</t>
  </si>
  <si>
    <t xml:space="preserve">Diseño y Arquitectura</t>
  </si>
  <si>
    <t xml:space="preserve">Como equipo, quiero definir los requerimientos del sistema para guiar el desarrollo.</t>
  </si>
  <si>
    <t xml:space="preserve">Lista de requerimientos funcionales y no funcionales aprobada por el tutor.</t>
  </si>
  <si>
    <t xml:space="preserve">Alta</t>
  </si>
  <si>
    <t xml:space="preserve">1-2</t>
  </si>
  <si>
    <t xml:space="preserve">Diseño y Modelado</t>
  </si>
  <si>
    <t xml:space="preserve">Equipo</t>
  </si>
  <si>
    <t xml:space="preserve">Pendiente</t>
  </si>
  <si>
    <t xml:space="preserve">OE1</t>
  </si>
  <si>
    <t xml:space="preserve">—</t>
  </si>
  <si>
    <t xml:space="preserve">Base para Product Backlog</t>
  </si>
  <si>
    <t xml:space="preserve">US-02</t>
  </si>
  <si>
    <t xml:space="preserve">Como equipo, quiero diseñar la arquitectura cliente-servidor para tener una base técnica clara.</t>
  </si>
  <si>
    <t xml:space="preserve">Diagrama UML de arquitectura revisado y aprobado.</t>
  </si>
  <si>
    <t xml:space="preserve">Incluye diagrama de componentes y despliegue</t>
  </si>
  <si>
    <t xml:space="preserve">US-03</t>
  </si>
  <si>
    <t xml:space="preserve">Como equipo, quiero definir el stack tecnológico (frontend, backend, modelo) para asegurar compatibilidad.</t>
  </si>
  <si>
    <t xml:space="preserve">Stack documentado con justificación técnica.</t>
  </si>
  <si>
    <t xml:space="preserve">OE1/OE2</t>
  </si>
  <si>
    <t xml:space="preserve">US-04</t>
  </si>
  <si>
    <t xml:space="preserve">Interfaz de Usuario</t>
  </si>
  <si>
    <t xml:space="preserve">Como investigador, quiero ver prototipos navegables (wireframes) de la plataforma para validar el flujo antes de implementar.</t>
  </si>
  <si>
    <t xml:space="preserve">Prototipo en Figma/Balsamiq aprobado por al menos un usuario final.</t>
  </si>
  <si>
    <t xml:space="preserve">2-4</t>
  </si>
  <si>
    <t xml:space="preserve">Camilo</t>
  </si>
  <si>
    <t xml:space="preserve">Debe incluir pantallas: carga, resultado, validación</t>
  </si>
  <si>
    <t xml:space="preserve">US-05</t>
  </si>
  <si>
    <t xml:space="preserve">Como investigador, quiero un formulario de carga de imágenes para enviar mis muestras de microscopía.</t>
  </si>
  <si>
    <t xml:space="preserve">El formulario acepta imágenes PNG/TIF/JPG y muestra mensajes de error claros.</t>
  </si>
  <si>
    <t xml:space="preserve">3-4</t>
  </si>
  <si>
    <t xml:space="preserve">Validación de tipo y tamaño de archivo</t>
  </si>
  <si>
    <t xml:space="preserve">US-06</t>
  </si>
  <si>
    <t xml:space="preserve">Integración del Modelo</t>
  </si>
  <si>
    <t xml:space="preserve">Como plataforma, quiero exponer el modelo U-Net como API REST para que el frontend consuma predicciones.</t>
  </si>
  <si>
    <t xml:space="preserve">Endpoint POST /predict retorna máscara de segmentación en &lt;5 segundos.</t>
  </si>
  <si>
    <t xml:space="preserve">5-6</t>
  </si>
  <si>
    <t xml:space="preserve">Integración U-Net</t>
  </si>
  <si>
    <t xml:space="preserve">Leonardo</t>
  </si>
  <si>
    <t xml:space="preserve">OE2</t>
  </si>
  <si>
    <t xml:space="preserve">Serialización con TorchServe/FastAPI</t>
  </si>
  <si>
    <t xml:space="preserve">US-07</t>
  </si>
  <si>
    <t xml:space="preserve">Como plataforma, quiero contenerizar el servicio de inferencia para garantizar reproducibilidad.</t>
  </si>
  <si>
    <t xml:space="preserve">Imagen Docker funciona en entorno de staging sin dependencias externas.</t>
  </si>
  <si>
    <t xml:space="preserve">Dockerfile + docker-compose</t>
  </si>
  <si>
    <t xml:space="preserve">US-08</t>
  </si>
  <si>
    <t xml:space="preserve">Como investigador, quiero cargar una imagen y ver el resultado de segmentación superpuesto para analizar las capas de grafeno.</t>
  </si>
  <si>
    <t xml:space="preserve">La máscara se visualiza sobre la imagen original con transparencia ajustable.</t>
  </si>
  <si>
    <t xml:space="preserve">6-7</t>
  </si>
  <si>
    <t xml:space="preserve">US-06, US-05</t>
  </si>
  <si>
    <t xml:space="preserve">Visualización con canvas o librería de imágenes</t>
  </si>
  <si>
    <t xml:space="preserve">US-09</t>
  </si>
  <si>
    <t xml:space="preserve">Como equipo, quiero ejecutar pruebas de integración frontend-backend para asegurar el flujo de inferencia.</t>
  </si>
  <si>
    <t xml:space="preserve">Suite de pruebas automatizadas con 0 fallos críticos en el pipeline de CI.</t>
  </si>
  <si>
    <t xml:space="preserve">7-8</t>
  </si>
  <si>
    <t xml:space="preserve">pytest + Playwright o Selenium</t>
  </si>
  <si>
    <t xml:space="preserve">US-10</t>
  </si>
  <si>
    <t xml:space="preserve">Como investigador, quiero descargar la máscara de segmentación generada para usar en mi investigación.</t>
  </si>
  <si>
    <t xml:space="preserve">Botón de descarga retorna PNG/TIF con la máscara en resolución original.</t>
  </si>
  <si>
    <t xml:space="preserve">Media</t>
  </si>
  <si>
    <t xml:space="preserve">US-11</t>
  </si>
  <si>
    <t xml:space="preserve">Validación HITL</t>
  </si>
  <si>
    <t xml:space="preserve">Como investigador, quiero confirmar si la segmentación es correcta para contribuir a la mejora del modelo.</t>
  </si>
  <si>
    <t xml:space="preserve">Botones 'Aprobar' / 'Corregir' registran la acción con timestamp y usuario.</t>
  </si>
  <si>
    <t xml:space="preserve">9-10</t>
  </si>
  <si>
    <t xml:space="preserve">OE3</t>
  </si>
  <si>
    <t xml:space="preserve">US-12</t>
  </si>
  <si>
    <t xml:space="preserve">Como investigador, quiero corregir manualmente una segmentación incorrecta para proporcionar datos de entrenamiento precisos.</t>
  </si>
  <si>
    <t xml:space="preserve">Editor de máscaras permite pintar/borrar regiones; guarda corrección en BD.</t>
  </si>
  <si>
    <t xml:space="preserve">9-11</t>
  </si>
  <si>
    <t xml:space="preserve">Canvas interactivo con herramienta de pincel</t>
  </si>
  <si>
    <t xml:space="preserve">US-13</t>
  </si>
  <si>
    <t xml:space="preserve">Como plataforma, quiero almacenar imágenes validadas con metadatos en una base de datos incremental para construir el dataset de mejora.</t>
  </si>
  <si>
    <t xml:space="preserve">Cada imagen validada se almacena con: fecha, usuario, versión del modelo, etiqueta.</t>
  </si>
  <si>
    <t xml:space="preserve">10-11</t>
  </si>
  <si>
    <t xml:space="preserve">PostgreSQL + versionado de datasets</t>
  </si>
  <si>
    <t xml:space="preserve">US-14</t>
  </si>
  <si>
    <t xml:space="preserve">Como administrador, quiero revisar el historial de validaciones para monitorear la calidad de los datos.</t>
  </si>
  <si>
    <t xml:space="preserve">Panel de administración muestra lista de validaciones con filtros por fecha y usuario.</t>
  </si>
  <si>
    <t xml:space="preserve">11-12</t>
  </si>
  <si>
    <t xml:space="preserve">US-15</t>
  </si>
  <si>
    <t xml:space="preserve">Como plataforma, quiero versionar los datasets generados para garantizar trazabilidad del proceso de mejora continua.</t>
  </si>
  <si>
    <t xml:space="preserve">Cada ciclo de datos exporta un snapshot versionado (v1.0, v1.1…).</t>
  </si>
  <si>
    <t xml:space="preserve">OE3/OE4</t>
  </si>
  <si>
    <t xml:space="preserve">DVC o gestión manual con hash</t>
  </si>
  <si>
    <t xml:space="preserve">US-16</t>
  </si>
  <si>
    <t xml:space="preserve">Mejoramiento Continuo</t>
  </si>
  <si>
    <t xml:space="preserve">Como equipo, quiero ejecutar un pipeline de reentrenamiento con los datos validados para actualizar el modelo.</t>
  </si>
  <si>
    <t xml:space="preserve">Pipeline ejecuta reentrenamiento con datos nuevos y registra métricas IoU y Dice Score.</t>
  </si>
  <si>
    <t xml:space="preserve">13-14</t>
  </si>
  <si>
    <t xml:space="preserve">OE4</t>
  </si>
  <si>
    <t xml:space="preserve">Scripts Python + MLflow o Weights &amp; Biases</t>
  </si>
  <si>
    <t xml:space="preserve">US-17</t>
  </si>
  <si>
    <t xml:space="preserve">Como equipo, quiero comparar el modelo actualizado vs el modelo base para decidir si se despliega.</t>
  </si>
  <si>
    <t xml:space="preserve">Comparativa automática: nuevo modelo se despliega solo si IoU ≥ modelo anterior.</t>
  </si>
  <si>
    <t xml:space="preserve">Umbral configurable</t>
  </si>
  <si>
    <t xml:space="preserve">US-18</t>
  </si>
  <si>
    <t xml:space="preserve">Como investigador, quiero ser notificado cuando el modelo ha sido actualizado para confiar en los resultados más recientes.</t>
  </si>
  <si>
    <t xml:space="preserve">Notificación en pantalla indica versión activa del modelo en cada inferencia.</t>
  </si>
  <si>
    <t xml:space="preserve">Baja</t>
  </si>
  <si>
    <t xml:space="preserve">14</t>
  </si>
  <si>
    <t xml:space="preserve">US-19</t>
  </si>
  <si>
    <t xml:space="preserve">Evaluación y Calidad</t>
  </si>
  <si>
    <t xml:space="preserve">Como equipo, quiero realizar pruebas de usabilidad con usuarios reales para validar la experiencia de la plataforma.</t>
  </si>
  <si>
    <t xml:space="preserve">Al menos 3 usuarios no técnicos completan el flujo sin asistencia; tasa de éxito ≥ 80%.</t>
  </si>
  <si>
    <t xml:space="preserve">14-15</t>
  </si>
  <si>
    <t xml:space="preserve">Evaluación</t>
  </si>
  <si>
    <t xml:space="preserve">US-08, US-11</t>
  </si>
  <si>
    <t xml:space="preserve">Think-aloud protocol + cuestionario SUS</t>
  </si>
  <si>
    <t xml:space="preserve">US-20</t>
  </si>
  <si>
    <t xml:space="preserve">Como equipo, quiero documentar los resultados del ciclo de mejora continua para evidenciar el cumplimiento del objetivo.</t>
  </si>
  <si>
    <t xml:space="preserve">Informe técnico con métricas antes/después del reentrenamiento entregado al tutor.</t>
  </si>
  <si>
    <t xml:space="preserve">15</t>
  </si>
  <si>
    <t xml:space="preserve">US-21</t>
  </si>
  <si>
    <t xml:space="preserve">Como equipo, quiero realizar una evaluación heurística de la interfaz para identificar problemas de usabilidad.</t>
  </si>
  <si>
    <t xml:space="preserve">Informe heurístico con severidad de hallazgos y propuestas de mejora.</t>
  </si>
  <si>
    <t xml:space="preserve">Heurísticas de Nielsen</t>
  </si>
  <si>
    <t xml:space="preserve">LEYENDA</t>
  </si>
  <si>
    <t xml:space="preserve">Sprint 1  Sem 1-4</t>
  </si>
  <si>
    <t xml:space="preserve">Sprint 2  Sem 5-8</t>
  </si>
  <si>
    <t xml:space="preserve">Sprint 3  Sem 9-12</t>
  </si>
  <si>
    <t xml:space="preserve">Sprint 4  Sem 13-15</t>
  </si>
  <si>
    <t xml:space="preserve">● Alta</t>
  </si>
  <si>
    <t xml:space="preserve">● Media</t>
  </si>
  <si>
    <t xml:space="preserve">● Baja</t>
  </si>
  <si>
    <t xml:space="preserve">SPRINT BOARD — Distribución por Fase y Semana</t>
  </si>
  <si>
    <t xml:space="preserve">  Sprint 1 — Diseño y Prototipado   |   Semanas 1-4   |   Story Points: 18</t>
  </si>
  <si>
    <t xml:space="preserve">#</t>
  </si>
  <si>
    <t xml:space="preserve">Story Points</t>
  </si>
  <si>
    <t xml:space="preserve">Objetivo Esp.</t>
  </si>
  <si>
    <t xml:space="preserve">  🎯 Meta del Sprint: Arquitectura documentada + Prototipo navegable aprobado por tutor</t>
  </si>
  <si>
    <t xml:space="preserve">  Sprint 2 — Integración del Modelo U-Net   |   Semanas 5-8   |   Story Points: 29</t>
  </si>
  <si>
    <t xml:space="preserve">  🎯 Meta del Sprint: Servicio de inferencia estable + Frontend conectado + 0 fallos críticos en CI</t>
  </si>
  <si>
    <t xml:space="preserve">  Sprint 3 — Validación Human-in-the-Loop   |   Semanas 9-12   |   Story Points: 26</t>
  </si>
  <si>
    <t xml:space="preserve">  🎯 Meta del Sprint: Módulo HITL funcional + BD incremental con al menos 10 imágenes validadas</t>
  </si>
  <si>
    <t xml:space="preserve">  Sprint 4 — Mejoramiento Continuo y Evaluación   |   Semanas 13-15   |   Story Points: 26</t>
  </si>
  <si>
    <t xml:space="preserve">  🎯 Meta del Sprint: 1 ciclo de reentrenamiento documentado + Pruebas de usabilidad con ≥3 usuarios</t>
  </si>
  <si>
    <t xml:space="preserve">RESUMEN DEL PROYECTO — Métricas y Seguimiento</t>
  </si>
  <si>
    <t xml:space="preserve">Distribución de Story Points por Sprint</t>
  </si>
  <si>
    <t xml:space="preserve">Nombre de la Fase</t>
  </si>
  <si>
    <t xml:space="preserve">Historias</t>
  </si>
  <si>
    <t xml:space="preserve">Completados</t>
  </si>
  <si>
    <t xml:space="preserve">% Avance</t>
  </si>
  <si>
    <t xml:space="preserve">Sprint 1</t>
  </si>
  <si>
    <t xml:space="preserve">Diseño y Prototipado</t>
  </si>
  <si>
    <t xml:space="preserve">1-4</t>
  </si>
  <si>
    <t xml:space="preserve">Sprint 2</t>
  </si>
  <si>
    <t xml:space="preserve">5-8</t>
  </si>
  <si>
    <t xml:space="preserve">Sprint 3</t>
  </si>
  <si>
    <t xml:space="preserve">Validación Human-in-the-Loop</t>
  </si>
  <si>
    <t xml:space="preserve">9-12</t>
  </si>
  <si>
    <t xml:space="preserve">Sprint 4</t>
  </si>
  <si>
    <t xml:space="preserve">Mejoramiento Continuo y Evaluación</t>
  </si>
  <si>
    <t xml:space="preserve">13-15</t>
  </si>
  <si>
    <t xml:space="preserve">TOTAL</t>
  </si>
  <si>
    <t xml:space="preserve">Trazabilidad: Objetivos Específicos → Historias de Usuario</t>
  </si>
  <si>
    <t xml:space="preserve">Obj. Esp.</t>
  </si>
  <si>
    <t xml:space="preserve">Descripción</t>
  </si>
  <si>
    <t xml:space="preserve">Historias Asociadas</t>
  </si>
  <si>
    <t xml:space="preserve">Diseñar e implementar interfaz web accesible</t>
  </si>
  <si>
    <t xml:space="preserve">US-01, US-04, US-05, US-08, US-10, US-19, US-21</t>
  </si>
  <si>
    <t xml:space="preserve">1, 2, 4</t>
  </si>
  <si>
    <t xml:space="preserve">Integrar modelo U-Net de forma estable y reproducible</t>
  </si>
  <si>
    <t xml:space="preserve">US-03, US-06, US-07, US-09</t>
  </si>
  <si>
    <t xml:space="preserve">1, 2</t>
  </si>
  <si>
    <t xml:space="preserve">Implementar mecanismo de validación de resultados</t>
  </si>
  <si>
    <t xml:space="preserve">US-11, US-12, US-13, US-14, US-15</t>
  </si>
  <si>
    <t xml:space="preserve">3</t>
  </si>
  <si>
    <t xml:space="preserve">Desarrollar proceso de integración continua</t>
  </si>
  <si>
    <t xml:space="preserve">US-16, US-17, US-18, US-20</t>
  </si>
  <si>
    <t xml:space="preserve">4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</si>
</sst>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b val="true"/>
      <sz val="10"/>
      <color rgb="FFFFC000"/>
      <name val="Calibri"/>
      <family val="0"/>
      <charset val="1"/>
    </font>
    <font>
      <b val="true"/>
      <sz val="10"/>
      <color rgb="FF70AD47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FF0000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9"/>
      <color rgb="FFFFC000"/>
      <name val="Calibri"/>
      <family val="0"/>
      <charset val="1"/>
    </font>
    <font>
      <i val="true"/>
      <sz val="9"/>
      <color rgb="FF375623"/>
      <name val="Calibri"/>
      <family val="0"/>
      <charset val="1"/>
    </font>
    <font>
      <b val="true"/>
      <sz val="9"/>
      <color rgb="FF7F6000"/>
      <name val="Calibri"/>
      <family val="0"/>
      <charset val="1"/>
    </font>
    <font>
      <i val="true"/>
      <sz val="9"/>
      <color rgb="FF7F6000"/>
      <name val="Calibri"/>
      <family val="0"/>
      <charset val="1"/>
    </font>
    <font>
      <b val="true"/>
      <sz val="9"/>
      <color rgb="FF833C00"/>
      <name val="Calibri"/>
      <family val="0"/>
      <charset val="1"/>
    </font>
    <font>
      <b val="true"/>
      <sz val="9"/>
      <color rgb="FF70AD47"/>
      <name val="Calibri"/>
      <family val="0"/>
      <charset val="1"/>
    </font>
    <font>
      <i val="true"/>
      <sz val="9"/>
      <color rgb="FF833C00"/>
      <name val="Calibri"/>
      <family val="0"/>
      <charset val="1"/>
    </font>
    <font>
      <b val="true"/>
      <sz val="11"/>
      <color rgb="FF1F3864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3" min="13" style="0" width="18"/>
    <col collapsed="false" customWidth="true" hidden="false" outlineLevel="0" max="14" min="14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51.75" hidden="false" customHeight="tru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6" t="s">
        <v>20</v>
      </c>
      <c r="F5" s="4" t="n">
        <v>3</v>
      </c>
      <c r="G5" s="4" t="n">
        <v>1</v>
      </c>
      <c r="H5" s="4" t="s">
        <v>21</v>
      </c>
      <c r="I5" s="5" t="s">
        <v>22</v>
      </c>
      <c r="J5" s="4" t="s">
        <v>23</v>
      </c>
      <c r="K5" s="4" t="s">
        <v>24</v>
      </c>
      <c r="L5" s="4" t="s">
        <v>25</v>
      </c>
      <c r="M5" s="5" t="s">
        <v>26</v>
      </c>
      <c r="N5" s="5" t="s">
        <v>27</v>
      </c>
    </row>
    <row r="6" customFormat="false" ht="51.75" hidden="false" customHeight="true" outlineLevel="0" collapsed="false">
      <c r="A6" s="4" t="s">
        <v>28</v>
      </c>
      <c r="B6" s="5" t="s">
        <v>17</v>
      </c>
      <c r="C6" s="5" t="s">
        <v>29</v>
      </c>
      <c r="D6" s="5" t="s">
        <v>30</v>
      </c>
      <c r="E6" s="6" t="s">
        <v>20</v>
      </c>
      <c r="F6" s="4" t="n">
        <v>5</v>
      </c>
      <c r="G6" s="4" t="n">
        <v>1</v>
      </c>
      <c r="H6" s="4" t="s">
        <v>21</v>
      </c>
      <c r="I6" s="5" t="s">
        <v>22</v>
      </c>
      <c r="J6" s="4" t="s">
        <v>23</v>
      </c>
      <c r="K6" s="4" t="s">
        <v>24</v>
      </c>
      <c r="L6" s="4" t="s">
        <v>25</v>
      </c>
      <c r="M6" s="5" t="s">
        <v>16</v>
      </c>
      <c r="N6" s="5" t="s">
        <v>31</v>
      </c>
    </row>
    <row r="7" customFormat="false" ht="51.75" hidden="false" customHeight="true" outlineLevel="0" collapsed="false">
      <c r="A7" s="4" t="s">
        <v>32</v>
      </c>
      <c r="B7" s="5" t="s">
        <v>17</v>
      </c>
      <c r="C7" s="5" t="s">
        <v>33</v>
      </c>
      <c r="D7" s="5" t="s">
        <v>34</v>
      </c>
      <c r="E7" s="6" t="s">
        <v>20</v>
      </c>
      <c r="F7" s="4" t="n">
        <v>2</v>
      </c>
      <c r="G7" s="4" t="n">
        <v>1</v>
      </c>
      <c r="H7" s="4" t="s">
        <v>21</v>
      </c>
      <c r="I7" s="5" t="s">
        <v>22</v>
      </c>
      <c r="J7" s="4" t="s">
        <v>23</v>
      </c>
      <c r="K7" s="4" t="s">
        <v>24</v>
      </c>
      <c r="L7" s="4" t="s">
        <v>35</v>
      </c>
      <c r="M7" s="5" t="s">
        <v>28</v>
      </c>
      <c r="N7" s="5"/>
    </row>
    <row r="8" customFormat="false" ht="51.75" hidden="false" customHeight="true" outlineLevel="0" collapsed="false">
      <c r="A8" s="4" t="s">
        <v>36</v>
      </c>
      <c r="B8" s="5" t="s">
        <v>37</v>
      </c>
      <c r="C8" s="5" t="s">
        <v>38</v>
      </c>
      <c r="D8" s="5" t="s">
        <v>39</v>
      </c>
      <c r="E8" s="6" t="s">
        <v>20</v>
      </c>
      <c r="F8" s="4" t="n">
        <v>5</v>
      </c>
      <c r="G8" s="4" t="n">
        <v>1</v>
      </c>
      <c r="H8" s="4" t="s">
        <v>40</v>
      </c>
      <c r="I8" s="5" t="s">
        <v>22</v>
      </c>
      <c r="J8" s="4" t="s">
        <v>41</v>
      </c>
      <c r="K8" s="4" t="s">
        <v>24</v>
      </c>
      <c r="L8" s="4" t="s">
        <v>25</v>
      </c>
      <c r="M8" s="5" t="s">
        <v>16</v>
      </c>
      <c r="N8" s="5" t="s">
        <v>42</v>
      </c>
    </row>
    <row r="9" customFormat="false" ht="51.75" hidden="false" customHeight="true" outlineLevel="0" collapsed="false">
      <c r="A9" s="4" t="s">
        <v>43</v>
      </c>
      <c r="B9" s="5" t="s">
        <v>37</v>
      </c>
      <c r="C9" s="5" t="s">
        <v>44</v>
      </c>
      <c r="D9" s="5" t="s">
        <v>45</v>
      </c>
      <c r="E9" s="6" t="s">
        <v>20</v>
      </c>
      <c r="F9" s="4" t="n">
        <v>3</v>
      </c>
      <c r="G9" s="4" t="n">
        <v>1</v>
      </c>
      <c r="H9" s="4" t="s">
        <v>46</v>
      </c>
      <c r="I9" s="5" t="s">
        <v>22</v>
      </c>
      <c r="J9" s="4" t="s">
        <v>41</v>
      </c>
      <c r="K9" s="4" t="s">
        <v>24</v>
      </c>
      <c r="L9" s="4" t="s">
        <v>25</v>
      </c>
      <c r="M9" s="5" t="s">
        <v>36</v>
      </c>
      <c r="N9" s="5" t="s">
        <v>47</v>
      </c>
    </row>
    <row r="10" customFormat="false" ht="51.75" hidden="false" customHeight="true" outlineLevel="0" collapsed="false">
      <c r="A10" s="7" t="s">
        <v>48</v>
      </c>
      <c r="B10" s="8" t="s">
        <v>49</v>
      </c>
      <c r="C10" s="8" t="s">
        <v>50</v>
      </c>
      <c r="D10" s="8" t="s">
        <v>51</v>
      </c>
      <c r="E10" s="9" t="s">
        <v>20</v>
      </c>
      <c r="F10" s="7" t="n">
        <v>8</v>
      </c>
      <c r="G10" s="7" t="n">
        <v>2</v>
      </c>
      <c r="H10" s="7" t="s">
        <v>52</v>
      </c>
      <c r="I10" s="8" t="s">
        <v>53</v>
      </c>
      <c r="J10" s="7" t="s">
        <v>54</v>
      </c>
      <c r="K10" s="7" t="s">
        <v>24</v>
      </c>
      <c r="L10" s="7" t="s">
        <v>55</v>
      </c>
      <c r="M10" s="8" t="s">
        <v>32</v>
      </c>
      <c r="N10" s="8" t="s">
        <v>56</v>
      </c>
    </row>
    <row r="11" customFormat="false" ht="51.75" hidden="false" customHeight="true" outlineLevel="0" collapsed="false">
      <c r="A11" s="7" t="s">
        <v>57</v>
      </c>
      <c r="B11" s="8" t="s">
        <v>49</v>
      </c>
      <c r="C11" s="8" t="s">
        <v>58</v>
      </c>
      <c r="D11" s="8" t="s">
        <v>59</v>
      </c>
      <c r="E11" s="9" t="s">
        <v>20</v>
      </c>
      <c r="F11" s="7" t="n">
        <v>5</v>
      </c>
      <c r="G11" s="7" t="n">
        <v>2</v>
      </c>
      <c r="H11" s="7" t="s">
        <v>52</v>
      </c>
      <c r="I11" s="8" t="s">
        <v>53</v>
      </c>
      <c r="J11" s="7" t="s">
        <v>54</v>
      </c>
      <c r="K11" s="7" t="s">
        <v>24</v>
      </c>
      <c r="L11" s="7" t="s">
        <v>55</v>
      </c>
      <c r="M11" s="8" t="s">
        <v>48</v>
      </c>
      <c r="N11" s="8" t="s">
        <v>60</v>
      </c>
    </row>
    <row r="12" customFormat="false" ht="51.75" hidden="false" customHeight="true" outlineLevel="0" collapsed="false">
      <c r="A12" s="7" t="s">
        <v>61</v>
      </c>
      <c r="B12" s="8" t="s">
        <v>49</v>
      </c>
      <c r="C12" s="8" t="s">
        <v>62</v>
      </c>
      <c r="D12" s="8" t="s">
        <v>63</v>
      </c>
      <c r="E12" s="9" t="s">
        <v>20</v>
      </c>
      <c r="F12" s="7" t="n">
        <v>8</v>
      </c>
      <c r="G12" s="7" t="n">
        <v>2</v>
      </c>
      <c r="H12" s="7" t="s">
        <v>64</v>
      </c>
      <c r="I12" s="8" t="s">
        <v>53</v>
      </c>
      <c r="J12" s="7" t="s">
        <v>23</v>
      </c>
      <c r="K12" s="7" t="s">
        <v>24</v>
      </c>
      <c r="L12" s="7" t="s">
        <v>35</v>
      </c>
      <c r="M12" s="8" t="s">
        <v>65</v>
      </c>
      <c r="N12" s="8" t="s">
        <v>66</v>
      </c>
    </row>
    <row r="13" customFormat="false" ht="51.75" hidden="false" customHeight="true" outlineLevel="0" collapsed="false">
      <c r="A13" s="7" t="s">
        <v>67</v>
      </c>
      <c r="B13" s="8" t="s">
        <v>49</v>
      </c>
      <c r="C13" s="8" t="s">
        <v>68</v>
      </c>
      <c r="D13" s="8" t="s">
        <v>69</v>
      </c>
      <c r="E13" s="9" t="s">
        <v>20</v>
      </c>
      <c r="F13" s="7" t="n">
        <v>5</v>
      </c>
      <c r="G13" s="7" t="n">
        <v>2</v>
      </c>
      <c r="H13" s="7" t="s">
        <v>70</v>
      </c>
      <c r="I13" s="8" t="s">
        <v>53</v>
      </c>
      <c r="J13" s="7" t="s">
        <v>23</v>
      </c>
      <c r="K13" s="7" t="s">
        <v>24</v>
      </c>
      <c r="L13" s="7" t="s">
        <v>55</v>
      </c>
      <c r="M13" s="8" t="s">
        <v>61</v>
      </c>
      <c r="N13" s="8" t="s">
        <v>71</v>
      </c>
    </row>
    <row r="14" customFormat="false" ht="51.75" hidden="false" customHeight="true" outlineLevel="0" collapsed="false">
      <c r="A14" s="7" t="s">
        <v>72</v>
      </c>
      <c r="B14" s="8" t="s">
        <v>49</v>
      </c>
      <c r="C14" s="8" t="s">
        <v>73</v>
      </c>
      <c r="D14" s="8" t="s">
        <v>74</v>
      </c>
      <c r="E14" s="10" t="s">
        <v>75</v>
      </c>
      <c r="F14" s="7" t="n">
        <v>3</v>
      </c>
      <c r="G14" s="7" t="n">
        <v>2</v>
      </c>
      <c r="H14" s="7" t="s">
        <v>70</v>
      </c>
      <c r="I14" s="8" t="s">
        <v>53</v>
      </c>
      <c r="J14" s="7" t="s">
        <v>41</v>
      </c>
      <c r="K14" s="7" t="s">
        <v>24</v>
      </c>
      <c r="L14" s="7" t="s">
        <v>25</v>
      </c>
      <c r="M14" s="8" t="s">
        <v>61</v>
      </c>
      <c r="N14" s="8"/>
    </row>
    <row r="15" customFormat="false" ht="51.75" hidden="false" customHeight="true" outlineLevel="0" collapsed="false">
      <c r="A15" s="11" t="s">
        <v>76</v>
      </c>
      <c r="B15" s="12" t="s">
        <v>77</v>
      </c>
      <c r="C15" s="12" t="s">
        <v>78</v>
      </c>
      <c r="D15" s="12" t="s">
        <v>79</v>
      </c>
      <c r="E15" s="13" t="s">
        <v>20</v>
      </c>
      <c r="F15" s="11" t="n">
        <v>5</v>
      </c>
      <c r="G15" s="11" t="n">
        <v>3</v>
      </c>
      <c r="H15" s="11" t="s">
        <v>80</v>
      </c>
      <c r="I15" s="12" t="s">
        <v>77</v>
      </c>
      <c r="J15" s="11" t="s">
        <v>41</v>
      </c>
      <c r="K15" s="11" t="s">
        <v>24</v>
      </c>
      <c r="L15" s="11" t="s">
        <v>81</v>
      </c>
      <c r="M15" s="12" t="s">
        <v>61</v>
      </c>
      <c r="N15" s="12"/>
    </row>
    <row r="16" customFormat="false" ht="51.75" hidden="false" customHeight="true" outlineLevel="0" collapsed="false">
      <c r="A16" s="11" t="s">
        <v>82</v>
      </c>
      <c r="B16" s="12" t="s">
        <v>77</v>
      </c>
      <c r="C16" s="12" t="s">
        <v>83</v>
      </c>
      <c r="D16" s="12" t="s">
        <v>84</v>
      </c>
      <c r="E16" s="13" t="s">
        <v>20</v>
      </c>
      <c r="F16" s="11" t="n">
        <v>8</v>
      </c>
      <c r="G16" s="11" t="n">
        <v>3</v>
      </c>
      <c r="H16" s="11" t="s">
        <v>85</v>
      </c>
      <c r="I16" s="12" t="s">
        <v>77</v>
      </c>
      <c r="J16" s="11" t="s">
        <v>41</v>
      </c>
      <c r="K16" s="11" t="s">
        <v>24</v>
      </c>
      <c r="L16" s="11" t="s">
        <v>81</v>
      </c>
      <c r="M16" s="12" t="s">
        <v>76</v>
      </c>
      <c r="N16" s="12" t="s">
        <v>86</v>
      </c>
    </row>
    <row r="17" customFormat="false" ht="51.75" hidden="false" customHeight="true" outlineLevel="0" collapsed="false">
      <c r="A17" s="11" t="s">
        <v>87</v>
      </c>
      <c r="B17" s="12" t="s">
        <v>77</v>
      </c>
      <c r="C17" s="12" t="s">
        <v>88</v>
      </c>
      <c r="D17" s="12" t="s">
        <v>89</v>
      </c>
      <c r="E17" s="13" t="s">
        <v>20</v>
      </c>
      <c r="F17" s="11" t="n">
        <v>5</v>
      </c>
      <c r="G17" s="11" t="n">
        <v>3</v>
      </c>
      <c r="H17" s="11" t="s">
        <v>90</v>
      </c>
      <c r="I17" s="12" t="s">
        <v>77</v>
      </c>
      <c r="J17" s="11" t="s">
        <v>54</v>
      </c>
      <c r="K17" s="11" t="s">
        <v>24</v>
      </c>
      <c r="L17" s="11" t="s">
        <v>81</v>
      </c>
      <c r="M17" s="12" t="s">
        <v>76</v>
      </c>
      <c r="N17" s="12" t="s">
        <v>91</v>
      </c>
    </row>
    <row r="18" customFormat="false" ht="51.75" hidden="false" customHeight="true" outlineLevel="0" collapsed="false">
      <c r="A18" s="11" t="s">
        <v>92</v>
      </c>
      <c r="B18" s="12" t="s">
        <v>77</v>
      </c>
      <c r="C18" s="12" t="s">
        <v>93</v>
      </c>
      <c r="D18" s="12" t="s">
        <v>94</v>
      </c>
      <c r="E18" s="14" t="s">
        <v>75</v>
      </c>
      <c r="F18" s="11" t="n">
        <v>5</v>
      </c>
      <c r="G18" s="11" t="n">
        <v>3</v>
      </c>
      <c r="H18" s="11" t="s">
        <v>95</v>
      </c>
      <c r="I18" s="12" t="s">
        <v>77</v>
      </c>
      <c r="J18" s="11" t="s">
        <v>54</v>
      </c>
      <c r="K18" s="11" t="s">
        <v>24</v>
      </c>
      <c r="L18" s="11" t="s">
        <v>81</v>
      </c>
      <c r="M18" s="12" t="s">
        <v>87</v>
      </c>
      <c r="N18" s="12"/>
    </row>
    <row r="19" customFormat="false" ht="51.75" hidden="false" customHeight="true" outlineLevel="0" collapsed="false">
      <c r="A19" s="11" t="s">
        <v>96</v>
      </c>
      <c r="B19" s="12" t="s">
        <v>77</v>
      </c>
      <c r="C19" s="12" t="s">
        <v>97</v>
      </c>
      <c r="D19" s="12" t="s">
        <v>98</v>
      </c>
      <c r="E19" s="14" t="s">
        <v>75</v>
      </c>
      <c r="F19" s="11" t="n">
        <v>3</v>
      </c>
      <c r="G19" s="11" t="n">
        <v>3</v>
      </c>
      <c r="H19" s="11" t="s">
        <v>95</v>
      </c>
      <c r="I19" s="12" t="s">
        <v>77</v>
      </c>
      <c r="J19" s="11" t="s">
        <v>54</v>
      </c>
      <c r="K19" s="11" t="s">
        <v>24</v>
      </c>
      <c r="L19" s="11" t="s">
        <v>99</v>
      </c>
      <c r="M19" s="12" t="s">
        <v>87</v>
      </c>
      <c r="N19" s="12" t="s">
        <v>100</v>
      </c>
    </row>
    <row r="20" customFormat="false" ht="51.75" hidden="false" customHeight="true" outlineLevel="0" collapsed="false">
      <c r="A20" s="15" t="s">
        <v>101</v>
      </c>
      <c r="B20" s="16" t="s">
        <v>102</v>
      </c>
      <c r="C20" s="16" t="s">
        <v>103</v>
      </c>
      <c r="D20" s="16" t="s">
        <v>104</v>
      </c>
      <c r="E20" s="17" t="s">
        <v>20</v>
      </c>
      <c r="F20" s="15" t="n">
        <v>8</v>
      </c>
      <c r="G20" s="15" t="n">
        <v>4</v>
      </c>
      <c r="H20" s="15" t="s">
        <v>105</v>
      </c>
      <c r="I20" s="16" t="s">
        <v>102</v>
      </c>
      <c r="J20" s="15" t="s">
        <v>54</v>
      </c>
      <c r="K20" s="15" t="s">
        <v>24</v>
      </c>
      <c r="L20" s="15" t="s">
        <v>106</v>
      </c>
      <c r="M20" s="16" t="s">
        <v>96</v>
      </c>
      <c r="N20" s="16" t="s">
        <v>107</v>
      </c>
    </row>
    <row r="21" customFormat="false" ht="51.75" hidden="false" customHeight="true" outlineLevel="0" collapsed="false">
      <c r="A21" s="15" t="s">
        <v>108</v>
      </c>
      <c r="B21" s="16" t="s">
        <v>102</v>
      </c>
      <c r="C21" s="16" t="s">
        <v>109</v>
      </c>
      <c r="D21" s="16" t="s">
        <v>110</v>
      </c>
      <c r="E21" s="17" t="s">
        <v>20</v>
      </c>
      <c r="F21" s="15" t="n">
        <v>5</v>
      </c>
      <c r="G21" s="15" t="n">
        <v>4</v>
      </c>
      <c r="H21" s="15" t="s">
        <v>105</v>
      </c>
      <c r="I21" s="16" t="s">
        <v>102</v>
      </c>
      <c r="J21" s="15" t="s">
        <v>23</v>
      </c>
      <c r="K21" s="15" t="s">
        <v>24</v>
      </c>
      <c r="L21" s="15" t="s">
        <v>106</v>
      </c>
      <c r="M21" s="16" t="s">
        <v>101</v>
      </c>
      <c r="N21" s="16" t="s">
        <v>111</v>
      </c>
    </row>
    <row r="22" customFormat="false" ht="51.75" hidden="false" customHeight="true" outlineLevel="0" collapsed="false">
      <c r="A22" s="15" t="s">
        <v>112</v>
      </c>
      <c r="B22" s="16" t="s">
        <v>102</v>
      </c>
      <c r="C22" s="16" t="s">
        <v>113</v>
      </c>
      <c r="D22" s="16" t="s">
        <v>114</v>
      </c>
      <c r="E22" s="18" t="s">
        <v>115</v>
      </c>
      <c r="F22" s="15" t="n">
        <v>2</v>
      </c>
      <c r="G22" s="15" t="n">
        <v>4</v>
      </c>
      <c r="H22" s="15" t="s">
        <v>116</v>
      </c>
      <c r="I22" s="16" t="s">
        <v>102</v>
      </c>
      <c r="J22" s="15" t="s">
        <v>41</v>
      </c>
      <c r="K22" s="15" t="s">
        <v>24</v>
      </c>
      <c r="L22" s="15" t="s">
        <v>106</v>
      </c>
      <c r="M22" s="16" t="s">
        <v>108</v>
      </c>
      <c r="N22" s="16"/>
    </row>
    <row r="23" customFormat="false" ht="51.75" hidden="false" customHeight="true" outlineLevel="0" collapsed="false">
      <c r="A23" s="15" t="s">
        <v>117</v>
      </c>
      <c r="B23" s="16" t="s">
        <v>118</v>
      </c>
      <c r="C23" s="16" t="s">
        <v>119</v>
      </c>
      <c r="D23" s="16" t="s">
        <v>120</v>
      </c>
      <c r="E23" s="17" t="s">
        <v>20</v>
      </c>
      <c r="F23" s="15" t="n">
        <v>5</v>
      </c>
      <c r="G23" s="15" t="n">
        <v>4</v>
      </c>
      <c r="H23" s="15" t="s">
        <v>121</v>
      </c>
      <c r="I23" s="16" t="s">
        <v>122</v>
      </c>
      <c r="J23" s="15" t="s">
        <v>23</v>
      </c>
      <c r="K23" s="15" t="s">
        <v>24</v>
      </c>
      <c r="L23" s="15" t="s">
        <v>25</v>
      </c>
      <c r="M23" s="16" t="s">
        <v>123</v>
      </c>
      <c r="N23" s="16" t="s">
        <v>124</v>
      </c>
    </row>
    <row r="24" customFormat="false" ht="51.75" hidden="false" customHeight="true" outlineLevel="0" collapsed="false">
      <c r="A24" s="15" t="s">
        <v>125</v>
      </c>
      <c r="B24" s="16" t="s">
        <v>118</v>
      </c>
      <c r="C24" s="16" t="s">
        <v>126</v>
      </c>
      <c r="D24" s="16" t="s">
        <v>127</v>
      </c>
      <c r="E24" s="17" t="s">
        <v>20</v>
      </c>
      <c r="F24" s="15" t="n">
        <v>3</v>
      </c>
      <c r="G24" s="15" t="n">
        <v>4</v>
      </c>
      <c r="H24" s="15" t="s">
        <v>128</v>
      </c>
      <c r="I24" s="16" t="s">
        <v>122</v>
      </c>
      <c r="J24" s="15" t="s">
        <v>23</v>
      </c>
      <c r="K24" s="15" t="s">
        <v>24</v>
      </c>
      <c r="L24" s="15" t="s">
        <v>106</v>
      </c>
      <c r="M24" s="16" t="s">
        <v>108</v>
      </c>
      <c r="N24" s="16"/>
    </row>
    <row r="25" customFormat="false" ht="51.75" hidden="false" customHeight="true" outlineLevel="0" collapsed="false">
      <c r="A25" s="15" t="s">
        <v>129</v>
      </c>
      <c r="B25" s="16" t="s">
        <v>118</v>
      </c>
      <c r="C25" s="16" t="s">
        <v>130</v>
      </c>
      <c r="D25" s="16" t="s">
        <v>131</v>
      </c>
      <c r="E25" s="19" t="s">
        <v>75</v>
      </c>
      <c r="F25" s="15" t="n">
        <v>3</v>
      </c>
      <c r="G25" s="15" t="n">
        <v>4</v>
      </c>
      <c r="H25" s="15" t="s">
        <v>121</v>
      </c>
      <c r="I25" s="16" t="s">
        <v>122</v>
      </c>
      <c r="J25" s="15" t="s">
        <v>41</v>
      </c>
      <c r="K25" s="15" t="s">
        <v>24</v>
      </c>
      <c r="L25" s="15" t="s">
        <v>25</v>
      </c>
      <c r="M25" s="16" t="s">
        <v>117</v>
      </c>
      <c r="N25" s="16" t="s">
        <v>132</v>
      </c>
    </row>
    <row r="27" customFormat="false" ht="15" hidden="false" customHeight="false" outlineLevel="0" collapsed="false">
      <c r="A27" s="20" t="s">
        <v>133</v>
      </c>
      <c r="B27" s="20"/>
      <c r="C27" s="20"/>
    </row>
    <row r="28" customFormat="false" ht="15" hidden="false" customHeight="false" outlineLevel="0" collapsed="false">
      <c r="A28" s="21" t="s">
        <v>134</v>
      </c>
      <c r="B28" s="22" t="s">
        <v>135</v>
      </c>
      <c r="C28" s="23" t="s">
        <v>136</v>
      </c>
      <c r="D28" s="24" t="s">
        <v>137</v>
      </c>
    </row>
    <row r="29" customFormat="false" ht="15" hidden="false" customHeight="false" outlineLevel="0" collapsed="false">
      <c r="A29" s="25" t="s">
        <v>138</v>
      </c>
      <c r="B29" s="26" t="s">
        <v>139</v>
      </c>
      <c r="C29" s="27" t="s">
        <v>140</v>
      </c>
    </row>
  </sheetData>
  <mergeCells count="3">
    <mergeCell ref="A1:N1"/>
    <mergeCell ref="A2:N2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9" min="7" style="0" width="14"/>
  </cols>
  <sheetData>
    <row r="1" customFormat="false" ht="27.75" hidden="false" customHeight="true" outlineLevel="0" collapsed="false">
      <c r="A1" s="28" t="s">
        <v>141</v>
      </c>
      <c r="B1" s="28"/>
      <c r="C1" s="28"/>
      <c r="D1" s="28"/>
      <c r="E1" s="28"/>
      <c r="F1" s="28"/>
      <c r="G1" s="28"/>
      <c r="H1" s="28"/>
      <c r="I1" s="28"/>
    </row>
    <row r="3" customFormat="false" ht="24" hidden="false" customHeight="true" outlineLevel="0" collapsed="false">
      <c r="A3" s="29" t="s">
        <v>142</v>
      </c>
      <c r="B3" s="29"/>
      <c r="C3" s="29"/>
      <c r="D3" s="29"/>
      <c r="E3" s="29"/>
      <c r="F3" s="29"/>
      <c r="G3" s="29"/>
      <c r="H3" s="29"/>
      <c r="I3" s="29"/>
    </row>
    <row r="4" customFormat="false" ht="19.5" hidden="false" customHeight="true" outlineLevel="0" collapsed="false">
      <c r="A4" s="30" t="s">
        <v>143</v>
      </c>
      <c r="B4" s="30" t="s">
        <v>4</v>
      </c>
      <c r="C4" s="30" t="s">
        <v>144</v>
      </c>
      <c r="D4" s="30" t="s">
        <v>11</v>
      </c>
      <c r="E4" s="30" t="s">
        <v>12</v>
      </c>
      <c r="F4" s="30" t="s">
        <v>145</v>
      </c>
      <c r="G4" s="30" t="s">
        <v>6</v>
      </c>
      <c r="H4" s="30" t="s">
        <v>9</v>
      </c>
      <c r="I4" s="30" t="s">
        <v>14</v>
      </c>
    </row>
    <row r="5" customFormat="false" ht="39.75" hidden="false" customHeight="true" outlineLevel="0" collapsed="false">
      <c r="A5" s="31" t="s">
        <v>16</v>
      </c>
      <c r="B5" s="32" t="s">
        <v>18</v>
      </c>
      <c r="C5" s="31" t="n">
        <v>3</v>
      </c>
      <c r="D5" s="31" t="s">
        <v>23</v>
      </c>
      <c r="E5" s="31" t="s">
        <v>24</v>
      </c>
      <c r="F5" s="31" t="s">
        <v>25</v>
      </c>
      <c r="G5" s="33" t="s">
        <v>20</v>
      </c>
      <c r="H5" s="31" t="s">
        <v>21</v>
      </c>
      <c r="I5" s="32" t="s">
        <v>27</v>
      </c>
    </row>
    <row r="6" customFormat="false" ht="39.75" hidden="false" customHeight="true" outlineLevel="0" collapsed="false">
      <c r="A6" s="31" t="s">
        <v>28</v>
      </c>
      <c r="B6" s="32" t="s">
        <v>29</v>
      </c>
      <c r="C6" s="31" t="n">
        <v>5</v>
      </c>
      <c r="D6" s="31" t="s">
        <v>23</v>
      </c>
      <c r="E6" s="31" t="s">
        <v>24</v>
      </c>
      <c r="F6" s="31" t="s">
        <v>25</v>
      </c>
      <c r="G6" s="33" t="s">
        <v>20</v>
      </c>
      <c r="H6" s="31" t="s">
        <v>21</v>
      </c>
      <c r="I6" s="32" t="s">
        <v>31</v>
      </c>
    </row>
    <row r="7" customFormat="false" ht="39.75" hidden="false" customHeight="true" outlineLevel="0" collapsed="false">
      <c r="A7" s="31" t="s">
        <v>32</v>
      </c>
      <c r="B7" s="32" t="s">
        <v>33</v>
      </c>
      <c r="C7" s="31" t="n">
        <v>2</v>
      </c>
      <c r="D7" s="31" t="s">
        <v>23</v>
      </c>
      <c r="E7" s="31" t="s">
        <v>24</v>
      </c>
      <c r="F7" s="31" t="s">
        <v>35</v>
      </c>
      <c r="G7" s="33" t="s">
        <v>20</v>
      </c>
      <c r="H7" s="31" t="s">
        <v>21</v>
      </c>
      <c r="I7" s="32"/>
    </row>
    <row r="8" customFormat="false" ht="39.75" hidden="false" customHeight="true" outlineLevel="0" collapsed="false">
      <c r="A8" s="31" t="s">
        <v>36</v>
      </c>
      <c r="B8" s="32" t="s">
        <v>38</v>
      </c>
      <c r="C8" s="31" t="n">
        <v>5</v>
      </c>
      <c r="D8" s="31" t="s">
        <v>41</v>
      </c>
      <c r="E8" s="31" t="s">
        <v>24</v>
      </c>
      <c r="F8" s="31" t="s">
        <v>25</v>
      </c>
      <c r="G8" s="33" t="s">
        <v>20</v>
      </c>
      <c r="H8" s="31" t="s">
        <v>40</v>
      </c>
      <c r="I8" s="32" t="s">
        <v>42</v>
      </c>
    </row>
    <row r="9" customFormat="false" ht="39.75" hidden="false" customHeight="true" outlineLevel="0" collapsed="false">
      <c r="A9" s="31" t="s">
        <v>43</v>
      </c>
      <c r="B9" s="32" t="s">
        <v>44</v>
      </c>
      <c r="C9" s="31" t="n">
        <v>3</v>
      </c>
      <c r="D9" s="31" t="s">
        <v>41</v>
      </c>
      <c r="E9" s="31" t="s">
        <v>24</v>
      </c>
      <c r="F9" s="31" t="s">
        <v>25</v>
      </c>
      <c r="G9" s="33" t="s">
        <v>20</v>
      </c>
      <c r="H9" s="31" t="s">
        <v>46</v>
      </c>
      <c r="I9" s="32" t="s">
        <v>47</v>
      </c>
    </row>
    <row r="10" customFormat="false" ht="27.75" hidden="false" customHeight="true" outlineLevel="0" collapsed="false">
      <c r="A10" s="34" t="s">
        <v>146</v>
      </c>
      <c r="B10" s="34"/>
      <c r="C10" s="34"/>
      <c r="D10" s="34"/>
      <c r="E10" s="34"/>
      <c r="F10" s="34"/>
      <c r="G10" s="34"/>
      <c r="H10" s="34"/>
      <c r="I10" s="34"/>
    </row>
    <row r="12" customFormat="false" ht="24" hidden="false" customHeight="true" outlineLevel="0" collapsed="false">
      <c r="A12" s="35" t="s">
        <v>147</v>
      </c>
      <c r="B12" s="35"/>
      <c r="C12" s="35"/>
      <c r="D12" s="35"/>
      <c r="E12" s="35"/>
      <c r="F12" s="35"/>
      <c r="G12" s="35"/>
      <c r="H12" s="35"/>
      <c r="I12" s="35"/>
    </row>
    <row r="13" customFormat="false" ht="19.5" hidden="false" customHeight="true" outlineLevel="0" collapsed="false">
      <c r="A13" s="36" t="s">
        <v>143</v>
      </c>
      <c r="B13" s="36" t="s">
        <v>4</v>
      </c>
      <c r="C13" s="36" t="s">
        <v>144</v>
      </c>
      <c r="D13" s="36" t="s">
        <v>11</v>
      </c>
      <c r="E13" s="36" t="s">
        <v>12</v>
      </c>
      <c r="F13" s="36" t="s">
        <v>145</v>
      </c>
      <c r="G13" s="36" t="s">
        <v>6</v>
      </c>
      <c r="H13" s="36" t="s">
        <v>9</v>
      </c>
      <c r="I13" s="36" t="s">
        <v>14</v>
      </c>
    </row>
    <row r="14" customFormat="false" ht="39.75" hidden="false" customHeight="true" outlineLevel="0" collapsed="false">
      <c r="A14" s="37" t="s">
        <v>48</v>
      </c>
      <c r="B14" s="38" t="s">
        <v>50</v>
      </c>
      <c r="C14" s="37" t="n">
        <v>8</v>
      </c>
      <c r="D14" s="37" t="s">
        <v>54</v>
      </c>
      <c r="E14" s="37" t="s">
        <v>24</v>
      </c>
      <c r="F14" s="37" t="s">
        <v>55</v>
      </c>
      <c r="G14" s="39" t="s">
        <v>20</v>
      </c>
      <c r="H14" s="37" t="s">
        <v>52</v>
      </c>
      <c r="I14" s="38" t="s">
        <v>56</v>
      </c>
    </row>
    <row r="15" customFormat="false" ht="39.75" hidden="false" customHeight="true" outlineLevel="0" collapsed="false">
      <c r="A15" s="37" t="s">
        <v>57</v>
      </c>
      <c r="B15" s="38" t="s">
        <v>58</v>
      </c>
      <c r="C15" s="37" t="n">
        <v>5</v>
      </c>
      <c r="D15" s="37" t="s">
        <v>54</v>
      </c>
      <c r="E15" s="37" t="s">
        <v>24</v>
      </c>
      <c r="F15" s="37" t="s">
        <v>55</v>
      </c>
      <c r="G15" s="39" t="s">
        <v>20</v>
      </c>
      <c r="H15" s="37" t="s">
        <v>52</v>
      </c>
      <c r="I15" s="38" t="s">
        <v>60</v>
      </c>
    </row>
    <row r="16" customFormat="false" ht="39.75" hidden="false" customHeight="true" outlineLevel="0" collapsed="false">
      <c r="A16" s="37" t="s">
        <v>61</v>
      </c>
      <c r="B16" s="38" t="s">
        <v>62</v>
      </c>
      <c r="C16" s="37" t="n">
        <v>8</v>
      </c>
      <c r="D16" s="37" t="s">
        <v>23</v>
      </c>
      <c r="E16" s="37" t="s">
        <v>24</v>
      </c>
      <c r="F16" s="37" t="s">
        <v>35</v>
      </c>
      <c r="G16" s="39" t="s">
        <v>20</v>
      </c>
      <c r="H16" s="37" t="s">
        <v>64</v>
      </c>
      <c r="I16" s="38" t="s">
        <v>66</v>
      </c>
    </row>
    <row r="17" customFormat="false" ht="39.75" hidden="false" customHeight="true" outlineLevel="0" collapsed="false">
      <c r="A17" s="37" t="s">
        <v>67</v>
      </c>
      <c r="B17" s="38" t="s">
        <v>68</v>
      </c>
      <c r="C17" s="37" t="n">
        <v>5</v>
      </c>
      <c r="D17" s="37" t="s">
        <v>23</v>
      </c>
      <c r="E17" s="37" t="s">
        <v>24</v>
      </c>
      <c r="F17" s="37" t="s">
        <v>55</v>
      </c>
      <c r="G17" s="39" t="s">
        <v>20</v>
      </c>
      <c r="H17" s="37" t="s">
        <v>70</v>
      </c>
      <c r="I17" s="38" t="s">
        <v>71</v>
      </c>
    </row>
    <row r="18" customFormat="false" ht="39.75" hidden="false" customHeight="true" outlineLevel="0" collapsed="false">
      <c r="A18" s="37" t="s">
        <v>72</v>
      </c>
      <c r="B18" s="38" t="s">
        <v>73</v>
      </c>
      <c r="C18" s="37" t="n">
        <v>3</v>
      </c>
      <c r="D18" s="37" t="s">
        <v>41</v>
      </c>
      <c r="E18" s="37" t="s">
        <v>24</v>
      </c>
      <c r="F18" s="37" t="s">
        <v>25</v>
      </c>
      <c r="G18" s="40" t="s">
        <v>75</v>
      </c>
      <c r="H18" s="37" t="s">
        <v>70</v>
      </c>
      <c r="I18" s="38"/>
    </row>
    <row r="19" customFormat="false" ht="27.75" hidden="false" customHeight="true" outlineLevel="0" collapsed="false">
      <c r="A19" s="41" t="s">
        <v>148</v>
      </c>
      <c r="B19" s="41"/>
      <c r="C19" s="41"/>
      <c r="D19" s="41"/>
      <c r="E19" s="41"/>
      <c r="F19" s="41"/>
      <c r="G19" s="41"/>
      <c r="H19" s="41"/>
      <c r="I19" s="41"/>
    </row>
    <row r="21" customFormat="false" ht="24" hidden="false" customHeight="true" outlineLevel="0" collapsed="false">
      <c r="A21" s="29" t="s">
        <v>149</v>
      </c>
      <c r="B21" s="29"/>
      <c r="C21" s="29"/>
      <c r="D21" s="29"/>
      <c r="E21" s="29"/>
      <c r="F21" s="29"/>
      <c r="G21" s="29"/>
      <c r="H21" s="29"/>
      <c r="I21" s="29"/>
    </row>
    <row r="22" customFormat="false" ht="19.5" hidden="false" customHeight="true" outlineLevel="0" collapsed="false">
      <c r="A22" s="42" t="s">
        <v>143</v>
      </c>
      <c r="B22" s="42" t="s">
        <v>4</v>
      </c>
      <c r="C22" s="42" t="s">
        <v>144</v>
      </c>
      <c r="D22" s="42" t="s">
        <v>11</v>
      </c>
      <c r="E22" s="42" t="s">
        <v>12</v>
      </c>
      <c r="F22" s="42" t="s">
        <v>145</v>
      </c>
      <c r="G22" s="42" t="s">
        <v>6</v>
      </c>
      <c r="H22" s="42" t="s">
        <v>9</v>
      </c>
      <c r="I22" s="42" t="s">
        <v>14</v>
      </c>
    </row>
    <row r="23" customFormat="false" ht="39.75" hidden="false" customHeight="true" outlineLevel="0" collapsed="false">
      <c r="A23" s="43" t="s">
        <v>76</v>
      </c>
      <c r="B23" s="44" t="s">
        <v>78</v>
      </c>
      <c r="C23" s="43" t="n">
        <v>5</v>
      </c>
      <c r="D23" s="43" t="s">
        <v>41</v>
      </c>
      <c r="E23" s="43" t="s">
        <v>24</v>
      </c>
      <c r="F23" s="43" t="s">
        <v>81</v>
      </c>
      <c r="G23" s="45" t="s">
        <v>20</v>
      </c>
      <c r="H23" s="43" t="s">
        <v>80</v>
      </c>
      <c r="I23" s="44"/>
    </row>
    <row r="24" customFormat="false" ht="39.75" hidden="false" customHeight="true" outlineLevel="0" collapsed="false">
      <c r="A24" s="43" t="s">
        <v>82</v>
      </c>
      <c r="B24" s="44" t="s">
        <v>83</v>
      </c>
      <c r="C24" s="43" t="n">
        <v>8</v>
      </c>
      <c r="D24" s="43" t="s">
        <v>41</v>
      </c>
      <c r="E24" s="43" t="s">
        <v>24</v>
      </c>
      <c r="F24" s="43" t="s">
        <v>81</v>
      </c>
      <c r="G24" s="45" t="s">
        <v>20</v>
      </c>
      <c r="H24" s="43" t="s">
        <v>85</v>
      </c>
      <c r="I24" s="44" t="s">
        <v>86</v>
      </c>
    </row>
    <row r="25" customFormat="false" ht="39.75" hidden="false" customHeight="true" outlineLevel="0" collapsed="false">
      <c r="A25" s="43" t="s">
        <v>87</v>
      </c>
      <c r="B25" s="44" t="s">
        <v>88</v>
      </c>
      <c r="C25" s="43" t="n">
        <v>5</v>
      </c>
      <c r="D25" s="43" t="s">
        <v>54</v>
      </c>
      <c r="E25" s="43" t="s">
        <v>24</v>
      </c>
      <c r="F25" s="43" t="s">
        <v>81</v>
      </c>
      <c r="G25" s="45" t="s">
        <v>20</v>
      </c>
      <c r="H25" s="43" t="s">
        <v>90</v>
      </c>
      <c r="I25" s="44" t="s">
        <v>91</v>
      </c>
    </row>
    <row r="26" customFormat="false" ht="39.75" hidden="false" customHeight="true" outlineLevel="0" collapsed="false">
      <c r="A26" s="43" t="s">
        <v>92</v>
      </c>
      <c r="B26" s="44" t="s">
        <v>93</v>
      </c>
      <c r="C26" s="43" t="n">
        <v>5</v>
      </c>
      <c r="D26" s="43" t="s">
        <v>54</v>
      </c>
      <c r="E26" s="43" t="s">
        <v>24</v>
      </c>
      <c r="F26" s="43" t="s">
        <v>81</v>
      </c>
      <c r="G26" s="46" t="s">
        <v>75</v>
      </c>
      <c r="H26" s="43" t="s">
        <v>95</v>
      </c>
      <c r="I26" s="44"/>
    </row>
    <row r="27" customFormat="false" ht="39.75" hidden="false" customHeight="true" outlineLevel="0" collapsed="false">
      <c r="A27" s="43" t="s">
        <v>96</v>
      </c>
      <c r="B27" s="44" t="s">
        <v>97</v>
      </c>
      <c r="C27" s="43" t="n">
        <v>3</v>
      </c>
      <c r="D27" s="43" t="s">
        <v>54</v>
      </c>
      <c r="E27" s="43" t="s">
        <v>24</v>
      </c>
      <c r="F27" s="43" t="s">
        <v>99</v>
      </c>
      <c r="G27" s="46" t="s">
        <v>75</v>
      </c>
      <c r="H27" s="43" t="s">
        <v>95</v>
      </c>
      <c r="I27" s="44" t="s">
        <v>100</v>
      </c>
    </row>
    <row r="28" customFormat="false" ht="27.75" hidden="false" customHeight="true" outlineLevel="0" collapsed="false">
      <c r="A28" s="47" t="s">
        <v>150</v>
      </c>
      <c r="B28" s="47"/>
      <c r="C28" s="47"/>
      <c r="D28" s="47"/>
      <c r="E28" s="47"/>
      <c r="F28" s="47"/>
      <c r="G28" s="47"/>
      <c r="H28" s="47"/>
      <c r="I28" s="47"/>
    </row>
    <row r="30" customFormat="false" ht="24" hidden="false" customHeight="true" outlineLevel="0" collapsed="false">
      <c r="A30" s="35" t="s">
        <v>151</v>
      </c>
      <c r="B30" s="35"/>
      <c r="C30" s="35"/>
      <c r="D30" s="35"/>
      <c r="E30" s="35"/>
      <c r="F30" s="35"/>
      <c r="G30" s="35"/>
      <c r="H30" s="35"/>
      <c r="I30" s="35"/>
    </row>
    <row r="31" customFormat="false" ht="19.5" hidden="false" customHeight="true" outlineLevel="0" collapsed="false">
      <c r="A31" s="48" t="s">
        <v>143</v>
      </c>
      <c r="B31" s="48" t="s">
        <v>4</v>
      </c>
      <c r="C31" s="48" t="s">
        <v>144</v>
      </c>
      <c r="D31" s="48" t="s">
        <v>11</v>
      </c>
      <c r="E31" s="48" t="s">
        <v>12</v>
      </c>
      <c r="F31" s="48" t="s">
        <v>145</v>
      </c>
      <c r="G31" s="48" t="s">
        <v>6</v>
      </c>
      <c r="H31" s="48" t="s">
        <v>9</v>
      </c>
      <c r="I31" s="48" t="s">
        <v>14</v>
      </c>
    </row>
    <row r="32" customFormat="false" ht="39.75" hidden="false" customHeight="true" outlineLevel="0" collapsed="false">
      <c r="A32" s="49" t="s">
        <v>101</v>
      </c>
      <c r="B32" s="50" t="s">
        <v>103</v>
      </c>
      <c r="C32" s="49" t="n">
        <v>8</v>
      </c>
      <c r="D32" s="49" t="s">
        <v>54</v>
      </c>
      <c r="E32" s="49" t="s">
        <v>24</v>
      </c>
      <c r="F32" s="49" t="s">
        <v>106</v>
      </c>
      <c r="G32" s="51" t="s">
        <v>20</v>
      </c>
      <c r="H32" s="49" t="s">
        <v>105</v>
      </c>
      <c r="I32" s="50" t="s">
        <v>107</v>
      </c>
    </row>
    <row r="33" customFormat="false" ht="39.75" hidden="false" customHeight="true" outlineLevel="0" collapsed="false">
      <c r="A33" s="49" t="s">
        <v>108</v>
      </c>
      <c r="B33" s="50" t="s">
        <v>109</v>
      </c>
      <c r="C33" s="49" t="n">
        <v>5</v>
      </c>
      <c r="D33" s="49" t="s">
        <v>23</v>
      </c>
      <c r="E33" s="49" t="s">
        <v>24</v>
      </c>
      <c r="F33" s="49" t="s">
        <v>106</v>
      </c>
      <c r="G33" s="51" t="s">
        <v>20</v>
      </c>
      <c r="H33" s="49" t="s">
        <v>105</v>
      </c>
      <c r="I33" s="50" t="s">
        <v>111</v>
      </c>
    </row>
    <row r="34" customFormat="false" ht="39.75" hidden="false" customHeight="true" outlineLevel="0" collapsed="false">
      <c r="A34" s="49" t="s">
        <v>112</v>
      </c>
      <c r="B34" s="50" t="s">
        <v>113</v>
      </c>
      <c r="C34" s="49" t="n">
        <v>2</v>
      </c>
      <c r="D34" s="49" t="s">
        <v>41</v>
      </c>
      <c r="E34" s="49" t="s">
        <v>24</v>
      </c>
      <c r="F34" s="49" t="s">
        <v>106</v>
      </c>
      <c r="G34" s="52" t="s">
        <v>115</v>
      </c>
      <c r="H34" s="49" t="s">
        <v>116</v>
      </c>
      <c r="I34" s="50"/>
    </row>
    <row r="35" customFormat="false" ht="39.75" hidden="false" customHeight="true" outlineLevel="0" collapsed="false">
      <c r="A35" s="49" t="s">
        <v>117</v>
      </c>
      <c r="B35" s="50" t="s">
        <v>119</v>
      </c>
      <c r="C35" s="49" t="n">
        <v>5</v>
      </c>
      <c r="D35" s="49" t="s">
        <v>23</v>
      </c>
      <c r="E35" s="49" t="s">
        <v>24</v>
      </c>
      <c r="F35" s="49" t="s">
        <v>25</v>
      </c>
      <c r="G35" s="51" t="s">
        <v>20</v>
      </c>
      <c r="H35" s="49" t="s">
        <v>121</v>
      </c>
      <c r="I35" s="50" t="s">
        <v>124</v>
      </c>
    </row>
    <row r="36" customFormat="false" ht="39.75" hidden="false" customHeight="true" outlineLevel="0" collapsed="false">
      <c r="A36" s="49" t="s">
        <v>125</v>
      </c>
      <c r="B36" s="50" t="s">
        <v>126</v>
      </c>
      <c r="C36" s="49" t="n">
        <v>3</v>
      </c>
      <c r="D36" s="49" t="s">
        <v>23</v>
      </c>
      <c r="E36" s="49" t="s">
        <v>24</v>
      </c>
      <c r="F36" s="49" t="s">
        <v>106</v>
      </c>
      <c r="G36" s="51" t="s">
        <v>20</v>
      </c>
      <c r="H36" s="49" t="s">
        <v>128</v>
      </c>
      <c r="I36" s="50"/>
    </row>
    <row r="37" customFormat="false" ht="39.75" hidden="false" customHeight="true" outlineLevel="0" collapsed="false">
      <c r="A37" s="49" t="s">
        <v>129</v>
      </c>
      <c r="B37" s="50" t="s">
        <v>130</v>
      </c>
      <c r="C37" s="49" t="n">
        <v>3</v>
      </c>
      <c r="D37" s="49" t="s">
        <v>41</v>
      </c>
      <c r="E37" s="49" t="s">
        <v>24</v>
      </c>
      <c r="F37" s="49" t="s">
        <v>25</v>
      </c>
      <c r="G37" s="53" t="s">
        <v>75</v>
      </c>
      <c r="H37" s="49" t="s">
        <v>121</v>
      </c>
      <c r="I37" s="50" t="s">
        <v>132</v>
      </c>
    </row>
    <row r="38" customFormat="false" ht="27.75" hidden="false" customHeight="true" outlineLevel="0" collapsed="false">
      <c r="A38" s="54" t="s">
        <v>152</v>
      </c>
      <c r="B38" s="54"/>
      <c r="C38" s="54"/>
      <c r="D38" s="54"/>
      <c r="E38" s="54"/>
      <c r="F38" s="54"/>
      <c r="G38" s="54"/>
      <c r="H38" s="54"/>
      <c r="I38" s="54"/>
    </row>
  </sheetData>
  <mergeCells count="9">
    <mergeCell ref="A1:I1"/>
    <mergeCell ref="A3:I3"/>
    <mergeCell ref="A10:I10"/>
    <mergeCell ref="A12:I12"/>
    <mergeCell ref="A19:I19"/>
    <mergeCell ref="A21:I21"/>
    <mergeCell ref="A28:I28"/>
    <mergeCell ref="A30:I30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36"/>
    <col collapsed="false" customWidth="true" hidden="false" outlineLevel="0" max="8" min="4" style="0" width="14"/>
  </cols>
  <sheetData>
    <row r="1" customFormat="false" ht="27.75" hidden="false" customHeight="true" outlineLevel="0" collapsed="false">
      <c r="A1" s="28" t="s">
        <v>153</v>
      </c>
      <c r="B1" s="28"/>
      <c r="C1" s="28"/>
      <c r="D1" s="28"/>
      <c r="E1" s="28"/>
      <c r="F1" s="28"/>
      <c r="G1" s="28"/>
      <c r="H1" s="28"/>
    </row>
    <row r="3" customFormat="false" ht="15" hidden="false" customHeight="false" outlineLevel="0" collapsed="false">
      <c r="A3" s="55" t="s">
        <v>154</v>
      </c>
      <c r="B3" s="55"/>
      <c r="C3" s="55"/>
      <c r="D3" s="55"/>
      <c r="E3" s="55"/>
      <c r="F3" s="55"/>
      <c r="G3" s="55"/>
      <c r="H3" s="55"/>
    </row>
    <row r="4" customFormat="false" ht="15" hidden="false" customHeight="false" outlineLevel="0" collapsed="false">
      <c r="A4" s="56" t="s">
        <v>8</v>
      </c>
      <c r="B4" s="56" t="s">
        <v>155</v>
      </c>
      <c r="C4" s="56" t="s">
        <v>9</v>
      </c>
      <c r="D4" s="56" t="s">
        <v>156</v>
      </c>
      <c r="E4" s="56" t="s">
        <v>144</v>
      </c>
      <c r="F4" s="56" t="s">
        <v>157</v>
      </c>
      <c r="G4" s="56" t="s">
        <v>158</v>
      </c>
      <c r="H4" s="56" t="s">
        <v>12</v>
      </c>
    </row>
    <row r="5" customFormat="false" ht="15" hidden="false" customHeight="false" outlineLevel="0" collapsed="false">
      <c r="A5" s="4" t="s">
        <v>159</v>
      </c>
      <c r="B5" s="4" t="s">
        <v>160</v>
      </c>
      <c r="C5" s="4" t="s">
        <v>161</v>
      </c>
      <c r="D5" s="4" t="n">
        <v>5</v>
      </c>
      <c r="E5" s="4" t="n">
        <v>18</v>
      </c>
      <c r="F5" s="4" t="n">
        <v>0</v>
      </c>
      <c r="G5" s="4" t="n">
        <f aca="false">F5/E5</f>
        <v>0</v>
      </c>
      <c r="H5" s="4" t="s">
        <v>24</v>
      </c>
    </row>
    <row r="6" customFormat="false" ht="15" hidden="false" customHeight="false" outlineLevel="0" collapsed="false">
      <c r="A6" s="7" t="s">
        <v>162</v>
      </c>
      <c r="B6" s="7" t="s">
        <v>53</v>
      </c>
      <c r="C6" s="7" t="s">
        <v>163</v>
      </c>
      <c r="D6" s="7" t="n">
        <v>5</v>
      </c>
      <c r="E6" s="7" t="n">
        <v>29</v>
      </c>
      <c r="F6" s="7" t="n">
        <v>0</v>
      </c>
      <c r="G6" s="7" t="n">
        <f aca="false">F6/E6</f>
        <v>0</v>
      </c>
      <c r="H6" s="7" t="s">
        <v>24</v>
      </c>
    </row>
    <row r="7" customFormat="false" ht="15" hidden="false" customHeight="false" outlineLevel="0" collapsed="false">
      <c r="A7" s="11" t="s">
        <v>164</v>
      </c>
      <c r="B7" s="11" t="s">
        <v>165</v>
      </c>
      <c r="C7" s="11" t="s">
        <v>166</v>
      </c>
      <c r="D7" s="11" t="n">
        <v>5</v>
      </c>
      <c r="E7" s="11" t="n">
        <v>26</v>
      </c>
      <c r="F7" s="11" t="n">
        <v>0</v>
      </c>
      <c r="G7" s="11" t="n">
        <f aca="false">F7/E7</f>
        <v>0</v>
      </c>
      <c r="H7" s="11" t="s">
        <v>24</v>
      </c>
    </row>
    <row r="8" customFormat="false" ht="15" hidden="false" customHeight="false" outlineLevel="0" collapsed="false">
      <c r="A8" s="15" t="s">
        <v>167</v>
      </c>
      <c r="B8" s="15" t="s">
        <v>168</v>
      </c>
      <c r="C8" s="15" t="s">
        <v>169</v>
      </c>
      <c r="D8" s="15" t="n">
        <v>6</v>
      </c>
      <c r="E8" s="15" t="n">
        <v>26</v>
      </c>
      <c r="F8" s="15" t="n">
        <v>0</v>
      </c>
      <c r="G8" s="15" t="n">
        <f aca="false">F8/E8</f>
        <v>0</v>
      </c>
      <c r="H8" s="15" t="s">
        <v>24</v>
      </c>
    </row>
    <row r="9" customFormat="false" ht="15" hidden="false" customHeight="false" outlineLevel="0" collapsed="false">
      <c r="A9" s="57" t="s">
        <v>170</v>
      </c>
      <c r="D9" s="57" t="n">
        <f aca="false">SUM(D5:D8)</f>
        <v>21</v>
      </c>
      <c r="E9" s="57" t="n">
        <f aca="false">SUM(E5:E8)</f>
        <v>99</v>
      </c>
      <c r="F9" s="57" t="n">
        <f aca="false">SUM(F5:F8)</f>
        <v>0</v>
      </c>
    </row>
    <row r="11" customFormat="false" ht="21.75" hidden="false" customHeight="true" outlineLevel="0" collapsed="false">
      <c r="A11" s="55" t="s">
        <v>171</v>
      </c>
      <c r="B11" s="55"/>
      <c r="C11" s="55"/>
      <c r="D11" s="55"/>
      <c r="E11" s="55"/>
      <c r="F11" s="55"/>
      <c r="G11" s="55"/>
      <c r="H11" s="55"/>
    </row>
    <row r="12" customFormat="false" ht="15" hidden="false" customHeight="false" outlineLevel="0" collapsed="false">
      <c r="A12" s="56" t="s">
        <v>172</v>
      </c>
      <c r="B12" s="56" t="s">
        <v>173</v>
      </c>
      <c r="C12" s="56" t="s">
        <v>174</v>
      </c>
      <c r="D12" s="56" t="s">
        <v>144</v>
      </c>
      <c r="E12" s="56" t="s">
        <v>8</v>
      </c>
    </row>
    <row r="13" customFormat="false" ht="30" hidden="false" customHeight="true" outlineLevel="0" collapsed="false">
      <c r="A13" s="58" t="s">
        <v>25</v>
      </c>
      <c r="B13" s="5" t="s">
        <v>175</v>
      </c>
      <c r="C13" s="5" t="s">
        <v>176</v>
      </c>
      <c r="D13" s="58" t="n">
        <f aca="false">3+5+3+8+3+5+3</f>
        <v>30</v>
      </c>
      <c r="E13" s="58" t="s">
        <v>177</v>
      </c>
    </row>
    <row r="14" customFormat="false" ht="30" hidden="false" customHeight="true" outlineLevel="0" collapsed="false">
      <c r="A14" s="59" t="s">
        <v>55</v>
      </c>
      <c r="B14" s="8" t="s">
        <v>178</v>
      </c>
      <c r="C14" s="8" t="s">
        <v>179</v>
      </c>
      <c r="D14" s="59" t="n">
        <f aca="false">2+8+5+5</f>
        <v>20</v>
      </c>
      <c r="E14" s="59" t="s">
        <v>180</v>
      </c>
    </row>
    <row r="15" customFormat="false" ht="30" hidden="false" customHeight="true" outlineLevel="0" collapsed="false">
      <c r="A15" s="60" t="s">
        <v>81</v>
      </c>
      <c r="B15" s="12" t="s">
        <v>181</v>
      </c>
      <c r="C15" s="12" t="s">
        <v>182</v>
      </c>
      <c r="D15" s="60" t="n">
        <f aca="false">5+8+5+5+3</f>
        <v>26</v>
      </c>
      <c r="E15" s="60" t="s">
        <v>183</v>
      </c>
    </row>
    <row r="16" customFormat="false" ht="30" hidden="false" customHeight="true" outlineLevel="0" collapsed="false">
      <c r="A16" s="61" t="s">
        <v>106</v>
      </c>
      <c r="B16" s="16" t="s">
        <v>184</v>
      </c>
      <c r="C16" s="16" t="s">
        <v>185</v>
      </c>
      <c r="D16" s="61" t="n">
        <f aca="false">8+5+2+3</f>
        <v>18</v>
      </c>
      <c r="E16" s="61" t="s">
        <v>186</v>
      </c>
    </row>
  </sheetData>
  <mergeCells count="3">
    <mergeCell ref="A1:H1"/>
    <mergeCell ref="A3:H3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2026-03-06T02:59:02Z</dcterms:created>
  <dc:creator>openpyxl</dc:creator>
  <dc:description/>
  <dc:language>en-US</dc:language>
  <cp:lastModifiedBy/>
  <dcterms:modified xsi:type="dcterms:W3CDTF">2026-03-06T02:59:02Z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